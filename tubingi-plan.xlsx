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н" sheetId="1" state="visible" r:id="rId1"/>
    <sheet name="Звонки" sheetId="2" state="visible" r:id="rId2"/>
    <sheet name="Вопросы" sheetId="3" state="visible" r:id="rId3"/>
    <sheet name="Логистика" sheetId="4" state="visible" r:id="rId4"/>
    <sheet name="Экономика" sheetId="5" state="visible" r:id="rId5"/>
    <sheet name="Комплект" sheetId="6" state="visible" r:id="rId6"/>
  </sheets>
  <definedNames>
    <definedName name="_xlnm._FilterDatabase" localSheetId="1" hidden="1">'Звонки'!$A$5:$K$25</definedName>
    <definedName name="_xlnm._FilterDatabase" localSheetId="2" hidden="1">'Вопросы'!$A$5:$D$21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 ##0"/>
    <numFmt numFmtId="165" formatCode="# ##0,00"/>
    <numFmt numFmtId="166" formatCode="# ##0,0"/>
  </numFmts>
  <fonts count="7">
    <font>
      <name val="Calibri"/>
      <family val="2"/>
      <color theme="1"/>
      <sz val="11"/>
      <scheme val="minor"/>
    </font>
    <font>
      <name val="Arial"/>
      <b val="1"/>
      <color rgb="0017486B"/>
      <sz val="13"/>
    </font>
    <font>
      <name val="Arial"/>
      <color rgb="006C7379"/>
      <sz val="9"/>
    </font>
    <font>
      <name val="Arial"/>
      <b val="1"/>
      <color rgb="00FFFFFF"/>
      <sz val="10"/>
    </font>
    <font>
      <name val="Arial"/>
      <b val="1"/>
      <color rgb="0015181B"/>
      <sz val="10"/>
    </font>
    <font>
      <name val="Arial"/>
      <color rgb="0015181B"/>
      <sz val="10"/>
    </font>
    <font>
      <name val="Arial"/>
      <b val="1"/>
      <color rgb="00A3392A"/>
      <sz val="10"/>
    </font>
  </fonts>
  <fills count="3">
    <fill>
      <patternFill/>
    </fill>
    <fill>
      <patternFill patternType="gray125"/>
    </fill>
    <fill>
      <patternFill patternType="solid">
        <fgColor rgb="0017486B"/>
      </patternFill>
    </fill>
  </fills>
  <borders count="2">
    <border>
      <left/>
      <right/>
      <top/>
      <bottom/>
      <diagonal/>
    </border>
    <border>
      <left style="thin">
        <color rgb="00C9CFD3"/>
      </left>
      <right style="thin">
        <color rgb="00C9CFD3"/>
      </right>
      <top style="thin">
        <color rgb="00C9CFD3"/>
      </top>
      <bottom style="thin">
        <color rgb="00C9CF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0" pivotButton="0" quotePrefix="0" xfId="0"/>
    <xf numFmtId="0" fontId="5" fillId="0" borderId="0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164" fontId="5" fillId="0" borderId="1" applyAlignment="1" pivotButton="0" quotePrefix="0" xfId="0">
      <alignment horizontal="left" vertical="top" wrapText="1"/>
    </xf>
    <xf numFmtId="165" fontId="5" fillId="0" borderId="1" applyAlignment="1" pivotButton="0" quotePrefix="0" xfId="0">
      <alignment horizontal="left" vertical="top" wrapText="1"/>
    </xf>
    <xf numFmtId="165" fontId="4" fillId="0" borderId="1" applyAlignment="1" pivotButton="0" quotePrefix="0" xfId="0">
      <alignment horizontal="left" vertical="top" wrapText="1"/>
    </xf>
    <xf numFmtId="164" fontId="4" fillId="0" borderId="1" applyAlignment="1" pivotButton="0" quotePrefix="0" xfId="0">
      <alignment horizontal="left" vertical="top" wrapText="1"/>
    </xf>
    <xf numFmtId="166" fontId="5" fillId="0" borderId="1" applyAlignment="1" pivotButton="0" quotePrefix="0" xfId="0">
      <alignment horizontal="left" vertical="top" wrapText="1"/>
    </xf>
    <xf numFmtId="166" fontId="4" fillId="0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62" customWidth="1" min="3" max="3"/>
    <col width="16" customWidth="1" min="4" max="4"/>
    <col width="10" customWidth="1" min="5" max="5"/>
  </cols>
  <sheetData>
    <row r="1" ht="22" customHeight="1">
      <c r="A1" s="1" t="inlineStr">
        <is>
          <t>Что делать по порядку</t>
        </is>
      </c>
    </row>
    <row r="2">
      <c r="A2" s="2" t="inlineStr">
        <is>
          <t>Жирным — введено руками. Обычным — посчитано формулой, меняется само.</t>
        </is>
      </c>
    </row>
    <row r="4" ht="30" customHeight="1">
      <c r="A4" s="3" t="inlineStr">
        <is>
          <t>Шаг</t>
        </is>
      </c>
      <c r="B4" s="3" t="inlineStr">
        <is>
          <t>Что сделать</t>
        </is>
      </c>
      <c r="C4" s="3" t="inlineStr">
        <is>
          <t>Почему именно так</t>
        </is>
      </c>
      <c r="D4" s="3" t="inlineStr">
        <is>
          <t>Кто</t>
        </is>
      </c>
      <c r="E4" s="3" t="inlineStr">
        <is>
          <t>Готово</t>
        </is>
      </c>
    </row>
    <row r="5" ht="58" customHeight="1">
      <c r="A5" s="4" t="inlineStr">
        <is>
          <t>1</t>
        </is>
      </c>
      <c r="B5" s="5" t="inlineStr">
        <is>
          <t>Ответить на пять вопросов, которые держат рассылку</t>
        </is>
      </c>
      <c r="C5" s="5" t="inlineStr">
        <is>
          <t>Канавка, «ширина до 1300», марка чугуна, чья КД, можно ли ослабить ±1′10″. Пока их нет, разные заводы посчитают разную работу и цены будет не с чем сравнивать. Вопросы — на листе «Вопросы»</t>
        </is>
      </c>
      <c r="D5" s="5" t="inlineStr">
        <is>
          <t>Отец</t>
        </is>
      </c>
      <c r="E5" s="5" t="inlineStr"/>
    </row>
    <row r="6" ht="58" customHeight="1">
      <c r="A6" s="4" t="inlineStr">
        <is>
          <t>2</t>
        </is>
      </c>
      <c r="B6" s="5" t="inlineStr">
        <is>
          <t>Обзвонить заводы из первой очереди</t>
        </is>
      </c>
      <c r="C6" s="5" t="inlineStr">
        <is>
          <t>Разговор без файлов и без объёма: какой стол по ширине и сколько держит килограммов. Наша деталь 1150 мм и 1895 кг, с приспособлением около 3000 кг. Отсекает почти всех и ничего не раскрывает</t>
        </is>
      </c>
      <c r="D6" s="5" t="inlineStr">
        <is>
          <t>Отец</t>
        </is>
      </c>
      <c r="E6" s="5" t="inlineStr"/>
    </row>
    <row r="7" ht="58" customHeight="1">
      <c r="A7" s="4" t="inlineStr">
        <is>
          <t>3</t>
        </is>
      </c>
      <c r="B7" s="5" t="inlineStr">
        <is>
          <t>Разослать запрос прошедшим первый разговор</t>
        </is>
      </c>
      <c r="C7" s="5" t="inlineStr">
        <is>
          <t>Текст готов и одинаков для всех, с формой ответа. Отправлять в один день — иначе предложения придут в разных форматах и сравнить их будет нельзя</t>
        </is>
      </c>
      <c r="D7" s="5" t="inlineStr">
        <is>
          <t>Отец</t>
        </is>
      </c>
      <c r="E7" s="5" t="inlineStr"/>
    </row>
    <row r="8" ht="58" customHeight="1">
      <c r="A8" s="4" t="inlineStr">
        <is>
          <t>4</t>
        </is>
      </c>
      <c r="B8" s="5" t="inlineStr">
        <is>
          <t>Собрать ответы в одну таблицу</t>
        </is>
      </c>
      <c r="C8" s="5" t="inlineStr">
        <is>
          <t>Форма ответа одинаковая, поэтому цены сравнимы построчно: ставка, трудоёмкость, число установов, срок</t>
        </is>
      </c>
      <c r="D8" s="5" t="inlineStr">
        <is>
          <t>Отец</t>
        </is>
      </c>
      <c r="E8" s="5" t="inlineStr"/>
    </row>
    <row r="9" ht="58" customHeight="1">
      <c r="A9" s="4" t="inlineStr">
        <is>
          <t>5</t>
        </is>
      </c>
      <c r="B9" s="5" t="inlineStr">
        <is>
          <t>Ответить на остальные десять вопросов</t>
        </is>
      </c>
      <c r="C9" s="5" t="inlineStr">
        <is>
          <t>Цена продажи, цена литья, что входило в 8–10 часов. Без них нельзя понять, хорошая ли цена в ответе</t>
        </is>
      </c>
      <c r="D9" s="5" t="inlineStr">
        <is>
          <t>Отец</t>
        </is>
      </c>
      <c r="E9" s="5" t="inlineStr"/>
    </row>
    <row r="10" ht="58" customHeight="1">
      <c r="A10" s="4" t="inlineStr">
        <is>
          <t>6</t>
        </is>
      </c>
      <c r="B10" s="5" t="inlineStr">
        <is>
          <t>Дать одну отливку на замер времени</t>
        </is>
      </c>
      <c r="C10" s="5" t="inlineStr">
        <is>
          <t>Три-четыре недели, трёхместное приспособление, чужой станок и секундомер. Это единственный способ узнать настоящую трудоёмкость, а не спорить о ней</t>
        </is>
      </c>
      <c r="D10" s="5" t="inlineStr">
        <is>
          <t>Отец + подрядчик</t>
        </is>
      </c>
      <c r="E10" s="5" t="inlineStr"/>
    </row>
    <row r="13">
      <c r="A13" s="1" t="inlineStr">
        <is>
          <t>Что уже сделано</t>
        </is>
      </c>
    </row>
    <row r="14" ht="30" customHeight="1">
      <c r="A14" s="3" t="inlineStr">
        <is>
          <t>Что</t>
        </is>
      </c>
      <c r="B14" s="3" t="inlineStr">
        <is>
          <t>Как</t>
        </is>
      </c>
    </row>
    <row r="15" ht="30" customHeight="1">
      <c r="A15" s="4" t="inlineStr">
        <is>
          <t>348 предприятий просмотрено</t>
        </is>
      </c>
      <c r="B15" s="5" t="inlineStr">
        <is>
          <t>Отобраны по станку, а не по названию. Отсеянные оставлены с причиной</t>
        </is>
      </c>
      <c r="C15" s="5" t="inlineStr"/>
      <c r="D15" s="5" t="inlineStr"/>
      <c r="E15" s="5" t="inlineStr"/>
    </row>
    <row r="16" ht="30" customHeight="1">
      <c r="A16" s="4" t="inlineStr">
        <is>
          <t>20 заводов отобрано для звонка</t>
        </is>
      </c>
      <c r="B16" s="5" t="inlineStr">
        <is>
          <t>ЧПУ + стол берёт деталь + юрлицо проверено по ЕГРЮЛ</t>
        </is>
      </c>
      <c r="C16" s="5" t="inlineStr"/>
      <c r="D16" s="5" t="inlineStr"/>
      <c r="E16" s="5" t="inlineStr"/>
    </row>
    <row r="17" ht="30" customHeight="1">
      <c r="A17" s="4" t="inlineStr">
        <is>
          <t>153 листа документов прочитано</t>
        </is>
      </c>
      <c r="B17" s="5" t="inlineStr">
        <is>
          <t>Чертежи 7 листов и ТУ 35-521-90 — 146 листов</t>
        </is>
      </c>
      <c r="C17" s="5" t="inlineStr"/>
      <c r="D17" s="5" t="inlineStr"/>
      <c r="E17" s="5" t="inlineStr"/>
    </row>
    <row r="18" ht="30" customHeight="1">
      <c r="A18" s="4" t="inlineStr">
        <is>
          <t>22 запроса из записи разобрано</t>
        </is>
      </c>
      <c r="B18" s="5" t="inlineStr">
        <is>
          <t>Каждый по существу, а не по метке времени</t>
        </is>
      </c>
      <c r="C18" s="5" t="inlineStr"/>
      <c r="D18" s="5" t="inlineStr"/>
      <c r="E18" s="5" t="inlineStr"/>
    </row>
    <row r="19" ht="30" customHeight="1">
      <c r="A19" s="4" t="inlineStr">
        <is>
          <t>Потолок цены посчитан</t>
        </is>
      </c>
      <c r="B19" s="5" t="inlineStr">
        <is>
          <t>Отдельно по каждому заказу. Лист «Экономика»</t>
        </is>
      </c>
      <c r="C19" s="5" t="inlineStr"/>
      <c r="D19" s="5" t="inlineStr"/>
      <c r="E19" s="5" t="inlineStr"/>
    </row>
    <row r="20" ht="30" customHeight="1">
      <c r="A20" s="4" t="inlineStr">
        <is>
          <t>Перевозка посчитана</t>
        </is>
      </c>
      <c r="B20" s="5" t="inlineStr">
        <is>
          <t>36 рейсов, расстояния по дорожной сети. Лист «Логистика»</t>
        </is>
      </c>
      <c r="C20" s="5" t="inlineStr"/>
      <c r="D20" s="5" t="inlineStr"/>
      <c r="E20" s="5" t="inlineStr"/>
    </row>
    <row r="23">
      <c r="A23" s="6" t="inlineStr">
        <is>
          <t>Чего в этой работе нет</t>
        </is>
      </c>
    </row>
    <row r="24" ht="26" customHeight="1">
      <c r="A24" s="7" t="inlineStr">
        <is>
          <t>— Ни один завод не обзвонен: свободных мощностей, сроков и настоящих цен не знает никто.</t>
        </is>
      </c>
    </row>
    <row r="25" ht="26" customHeight="1">
      <c r="A25" s="7" t="inlineStr">
        <is>
          <t>— Ни одного коммерческого предложения. Потолок — расчёт при названных допущениях, а не цена рынка.</t>
        </is>
      </c>
    </row>
    <row r="26" ht="26" customHeight="1">
      <c r="A26" s="7" t="inlineStr">
        <is>
          <t>— Действующая редакция чертежей не подтверждена: листы по Ø9,5 и Ø10,5 найдены в архивном сборнике 1990 года.</t>
        </is>
      </c>
    </row>
    <row r="27" ht="26" customHeight="1">
      <c r="A27" s="7" t="inlineStr">
        <is>
          <t>— Право рассылать чертежи не выяснено. Пока не выяснено — запрос идёт без КД.</t>
        </is>
      </c>
    </row>
  </sheetData>
  <mergeCells count="4">
    <mergeCell ref="A25:C25"/>
    <mergeCell ref="A27:C27"/>
    <mergeCell ref="A26:C26"/>
    <mergeCell ref="A24:C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46" customWidth="1" min="4" max="4"/>
    <col width="26" customWidth="1" min="5" max="5"/>
    <col width="26" customWidth="1" min="6" max="6"/>
    <col width="24" customWidth="1" min="7" max="7"/>
    <col width="30" customWidth="1" min="8" max="8"/>
    <col width="46" customWidth="1" min="9" max="9"/>
    <col width="14" customWidth="1" min="10" max="10"/>
    <col width="30" customWidth="1" min="11" max="11"/>
  </cols>
  <sheetData>
    <row r="1" ht="22" customHeight="1">
      <c r="A1" s="1" t="inlineStr">
        <is>
          <t>Кому звонить: 20 заводов со станками с ЧПУ</t>
        </is>
      </c>
    </row>
    <row r="2">
      <c r="A2" s="2" t="inlineStr">
        <is>
          <t>Жирным — введено руками. Обычным — посчитано формулой, меняется само.</t>
        </is>
      </c>
    </row>
    <row r="3">
      <c r="A3" s="2" t="inlineStr">
        <is>
          <t>Целевой — техника подтверждена опубликованными числами, по юрлицу вопросов нет. Уточнить — станок берёт, но перед ценой надо закрыть один вопрос. Запасной — есть причина не звонить первым: деньги, банкротство или неподходящий станок.</t>
        </is>
      </c>
    </row>
    <row r="5" ht="30" customHeight="1">
      <c r="A5" s="3" t="inlineStr">
        <is>
          <t>Очередь</t>
        </is>
      </c>
      <c r="B5" s="3" t="inlineStr">
        <is>
          <t>Завод</t>
        </is>
      </c>
      <c r="C5" s="3" t="inlineStr">
        <is>
          <t>Город</t>
        </is>
      </c>
      <c r="D5" s="3" t="inlineStr">
        <is>
          <t>Станок с ЧПУ</t>
        </is>
      </c>
      <c r="E5" s="3" t="inlineStr">
        <is>
          <t>Телефон</t>
        </is>
      </c>
      <c r="F5" s="3" t="inlineStr">
        <is>
          <t>Почта</t>
        </is>
      </c>
      <c r="G5" s="3" t="inlineStr">
        <is>
          <t>Кого звать</t>
        </is>
      </c>
      <c r="H5" s="3" t="inlineStr">
        <is>
          <t>Адрес и оговорки</t>
        </is>
      </c>
      <c r="I5" s="3" t="inlineStr">
        <is>
          <t>Что спросить первым</t>
        </is>
      </c>
      <c r="J5" s="3" t="inlineStr">
        <is>
          <t>Дозвонился</t>
        </is>
      </c>
      <c r="K5" s="3" t="inlineStr">
        <is>
          <t>Ответ</t>
        </is>
      </c>
    </row>
    <row r="6" ht="86" customHeight="1">
      <c r="A6" s="8" t="inlineStr">
        <is>
          <t>Целевой</t>
        </is>
      </c>
      <c r="B6" s="4" t="inlineStr">
        <is>
          <t>ООО «ТПК Брик»</t>
        </is>
      </c>
      <c r="C6" s="5" t="inlineStr">
        <is>
          <t>Самара</t>
        </is>
      </c>
      <c r="D6" s="5" t="inlineStr">
        <is>
          <t>Два передела на одной площадке. Фрезерный: портальный HV2514, ЧПУ Fanuc, стол 2500 × 1200 мм, заготовка до 6000 кг, точность ±0,015 мм. По ширине впритык: деталь 1150 при столе 1200 — запас 25 мм на сторону, а приспособление с прижимами по контуру (1270 мм) туда уже не встаёт. Расточный: Skoda W-160G, стол от 2200 × 2200 мм, ход по X 6000 мм, пиноль Ø160 с вылетом 1250 мм, соосность до 0,03 мм; плюс 2620Б со столом 1120 × 1250 и массой до 3000 кг</t>
        </is>
      </c>
      <c r="E6" s="4" t="inlineStr">
        <is>
          <t>Фрезерное направление: +7 (846) 202-07-45 · Расточное: +7 (846) 203-07-17</t>
        </is>
      </c>
      <c r="F6" s="4" t="inlineStr">
        <is>
          <t>info@tpkbrik.ru</t>
        </is>
      </c>
      <c r="G6" s="5" t="inlineStr"/>
      <c r="H6" s="9" t="inlineStr">
        <is>
          <t>Пн–Пт 08:00–17:00</t>
        </is>
      </c>
      <c r="I6" s="5" t="inlineStr">
        <is>
          <t>Сколько деталей в месяц и в сколько смен. И отдельно: на фрезерном стол 1200 мм при нашей ширине 1150 — спросить, можно ли прижимать только по торцам. По массе вопросов нет, запас четырёхкратный. Расточная Skoda 2200 × 2200 берёт деталь с приспособлением свободно</t>
        </is>
      </c>
      <c r="J6" s="5" t="inlineStr"/>
      <c r="K6" s="5" t="inlineStr"/>
    </row>
    <row r="7" ht="86" customHeight="1">
      <c r="A7" s="4" t="inlineStr">
        <is>
          <t>Уточнить</t>
        </is>
      </c>
      <c r="B7" s="4" t="inlineStr">
        <is>
          <t>ООО «Тулапрессмаш»</t>
        </is>
      </c>
      <c r="C7" s="5" t="inlineStr">
        <is>
          <t>Тула, марка STEIF</t>
        </is>
      </c>
      <c r="D7" s="5" t="inlineStr">
        <is>
          <t>Портальный AWEA LP4025YZF: стол 4020 × 2400 мм, ходы 4000 / 3200 / 1000 мм, между колоннами 2700 мм, сменная горизонтальная головка с вращением 360° шагом 5° — прямо под радиальные борта. Плюс горизонтальный 2Б6180ГМФ4 со столом 1800 × 2200 мм и поворотным столом: сверление, зенкерование и резьба метчиком на одном станке. Подходящих станка два, а не три: у третьего, портального TDG-Е-SF 2116, стол 2000 × 1500 мм — деталь длиной 2083 мм на него не ложится, не хватает 83 мм, и ход по X 2100 мм этого не меняет</t>
        </is>
      </c>
      <c r="E7" s="4" t="inlineStr">
        <is>
          <t>8 (800) 444-65-61</t>
        </is>
      </c>
      <c r="F7" s="4" t="inlineStr">
        <is>
          <t>info@tulpm.ru</t>
        </is>
      </c>
      <c r="G7" s="5" t="inlineStr">
        <is>
          <t>Директор Ашпин Николай Анатольевич</t>
        </is>
      </c>
      <c r="H7" s="9" t="inlineStr">
        <is>
          <t>Тула, ул. Демидовская, 67</t>
        </is>
      </c>
      <c r="I7" s="5" t="inlineStr">
        <is>
          <t>Грузоподъёмность стола — она не опубликована ни для одного станка, поэтому 1895 кг ничем не подтверждены. И условия оплаты: у них налоговый долг около 3 млн ₽, работать по факту сдачи</t>
        </is>
      </c>
      <c r="J7" s="5" t="inlineStr"/>
      <c r="K7" s="5" t="inlineStr"/>
    </row>
    <row r="8" ht="86" customHeight="1">
      <c r="A8" s="4" t="inlineStr">
        <is>
          <t>Уточнить</t>
        </is>
      </c>
      <c r="B8" s="4" t="inlineStr">
        <is>
          <t>ООО «Металлист-Тольятти»</t>
        </is>
      </c>
      <c r="C8" s="5" t="inlineStr">
        <is>
          <t>Тольятти</t>
        </is>
      </c>
      <c r="D8" s="5" t="inlineStr">
        <is>
          <t>Фрезерная и расточная с ЧПУ: 6000 × 2000 × 1250 мм. Станки Coburg PMC3000, MAHO-1600, Okuma MCM16</t>
        </is>
      </c>
      <c r="E8" s="4" t="inlineStr">
        <is>
          <t>+7 (903) 302-53-97, +7 (937) 211-31-77</t>
        </is>
      </c>
      <c r="F8" s="4" t="inlineStr">
        <is>
          <t>office.metall-tlt@yandex.ru · taa@metallist-tlt.ru</t>
        </is>
      </c>
      <c r="G8" s="5" t="inlineStr"/>
      <c r="H8" s="9" t="inlineStr"/>
      <c r="I8" s="5" t="inlineStr">
        <is>
          <t>Грузоподъёмность стола — по массе на сайте нет ни одной цифры. И чьё оборудование: основных средств у них 27,5 млн ₽, площадка, похоже, арендованная</t>
        </is>
      </c>
      <c r="J8" s="5" t="inlineStr"/>
      <c r="K8" s="5" t="inlineStr"/>
    </row>
    <row r="9" ht="86" customHeight="1">
      <c r="A9" s="4" t="inlineStr">
        <is>
          <t>Запасной</t>
        </is>
      </c>
      <c r="B9" s="4" t="inlineStr">
        <is>
          <t>ООО «Завод РТО»</t>
        </is>
      </c>
      <c r="C9" s="5" t="inlineStr">
        <is>
          <t>Оренбург</t>
        </is>
      </c>
      <c r="D9" s="5" t="inlineStr">
        <is>
          <t>Расточной Wotan Rapid 3 с ЧПУ, поворотный стол 3000 × 2000 мм, деталь до 2 м высотой и до 2 тонн. Но на той же странице завод объявляет по крупногабариту массу до 25 тонн и габариты до 4000 × 4000 × 4000 мм, не называя станка. Точность заявлена до ±0,01–0,05 мм</t>
        </is>
      </c>
      <c r="E9" s="4" t="inlineStr">
        <is>
          <t>+7 (3532) 44-15-45, +7 (3532) 44-15-47</t>
        </is>
      </c>
      <c r="F9" s="4" t="inlineStr"/>
      <c r="G9" s="5" t="inlineStr"/>
      <c r="H9" s="9" t="inlineStr">
        <is>
          <t>ozrto.ru</t>
        </is>
      </c>
      <c r="I9" s="5" t="inlineStr">
        <is>
          <t>На чём делаете детали тяжелее двух тонн. Наша деталь 1895 кг на Wotan проходит, а с приспособлением около 3000 кг — уже нет. Если 25 тонн относятся к другому станку, надо знать к какому</t>
        </is>
      </c>
      <c r="J9" s="5" t="inlineStr"/>
      <c r="K9" s="5" t="inlineStr"/>
    </row>
    <row r="10" ht="86" customHeight="1">
      <c r="A10" s="4" t="inlineStr">
        <is>
          <t>Уточнить</t>
        </is>
      </c>
      <c r="B10" s="4" t="inlineStr">
        <is>
          <t>ООО «МСЗ-Механика»</t>
        </is>
      </c>
      <c r="C10" s="5" t="inlineStr">
        <is>
          <t>Электросталь</t>
        </is>
      </c>
      <c r="D10" s="5" t="inlineStr">
        <is>
          <t>Фрезерно-расточной с ЧПУ МС625МФ: деталь до 6000 × 2500 × 1000 мм. Парк более 60 станков. И главное: они сами делают оснастку — приспособления, кондуктора, мерительный инструмент. Есть термообработка</t>
        </is>
      </c>
      <c r="E10" s="4" t="inlineStr">
        <is>
          <t>8 (496) 577-60-26, 8 (496) 577-67-37 · Отдел закупок: +7 (496) 577-31-52</t>
        </is>
      </c>
      <c r="F10" s="4" t="inlineStr">
        <is>
          <t>mszm@mail.ru</t>
        </is>
      </c>
      <c r="G10" s="5" t="inlineStr">
        <is>
          <t>Директор Чурин Андрей Владимирович</t>
        </is>
      </c>
      <c r="H10" s="9" t="inlineStr"/>
      <c r="I10" s="5" t="inlineStr">
        <is>
          <t>Возьмут ли гражданский заказ со стороны — это контур Росатома, есть пропускной режим. И грузоподъёмность стола МС625МФ: ограничений по массе на странице нет. Взамен они сами делают оснастку — приспособление можно заказать у них же</t>
        </is>
      </c>
      <c r="J10" s="5" t="inlineStr"/>
      <c r="K10" s="5" t="inlineStr"/>
    </row>
    <row r="11" ht="86" customHeight="1">
      <c r="A11" s="8" t="inlineStr">
        <is>
          <t>Целевой</t>
        </is>
      </c>
      <c r="B11" s="4" t="inlineStr">
        <is>
          <t>ОАО «ЭЗТМ»</t>
        </is>
      </c>
      <c r="C11" s="5" t="inlineStr">
        <is>
          <t>Электросталь</t>
        </is>
      </c>
      <c r="D11" s="5" t="inlineStr">
        <is>
          <t>Фрезерные с ЧПУ: изделие до 8500 × 2500 × 2500 мм, вес до 65 тонн. Расточные с ЧПУ: до 12 000 × 5600 × 4000 мм, 60 тонн. Глубокое сверление Ø до 120 мм — ровно наше нагнетательное отверстие. Всего около 450 металлорежущих станков</t>
        </is>
      </c>
      <c r="E11" s="4" t="inlineStr">
        <is>
          <t>+7 (496) 577-72-46, +7 (495) 702-97-57</t>
        </is>
      </c>
      <c r="F11" s="4" t="inlineStr">
        <is>
          <t>eztm@eztm.ru</t>
        </is>
      </c>
      <c r="G11" s="5" t="inlineStr">
        <is>
          <t>Запрос — на имя коммерческого директора на бланке</t>
        </is>
      </c>
      <c r="H11" s="9" t="inlineStr"/>
      <c r="I11" s="5" t="inlineStr">
        <is>
          <t>Берут ли работу со стороны и на каком станке пойдёт наша плита</t>
        </is>
      </c>
      <c r="J11" s="5" t="inlineStr"/>
      <c r="K11" s="5" t="inlineStr"/>
    </row>
    <row r="12" ht="86" customHeight="1">
      <c r="A12" s="4" t="inlineStr">
        <is>
          <t>Уточнить</t>
        </is>
      </c>
      <c r="B12" s="4" t="inlineStr">
        <is>
          <t>ООО «СММ-ТяжМаш»</t>
        </is>
      </c>
      <c r="C12" s="5" t="inlineStr">
        <is>
          <t>Сосновый Бор</t>
        </is>
      </c>
      <c r="D12" s="5" t="inlineStr">
        <is>
          <t>Расточной PAMA SPEEDRAM 4000 + TM100, поворотный стол 4000 × 4000 мм, 100 тонн. Фрезерная группа мелкая — работа пойдёт на расточном</t>
        </is>
      </c>
      <c r="E12" s="4" t="inlineStr"/>
      <c r="F12" s="4" t="inlineStr"/>
      <c r="G12" s="5" t="inlineStr"/>
      <c r="H12" s="9" t="inlineStr">
        <is>
          <t>Телефон на сайте не опубликован — через форму на smmtm.ru · ИНН 4726003707 · Сосновый Бор, ул. Мира, 1</t>
        </is>
      </c>
      <c r="I12" s="5" t="inlineStr">
        <is>
          <t>Как на расточном получить плоскости бортов. И возьмут ли гражданский заказ</t>
        </is>
      </c>
      <c r="J12" s="5" t="inlineStr"/>
      <c r="K12" s="5" t="inlineStr"/>
    </row>
    <row r="13" ht="86" customHeight="1">
      <c r="A13" s="4" t="inlineStr">
        <is>
          <t>Уточнить</t>
        </is>
      </c>
      <c r="B13" s="4" t="inlineStr">
        <is>
          <t>ООО «ЗМО №1»</t>
        </is>
      </c>
      <c r="C13" s="5" t="inlineStr">
        <is>
          <t>Лысьва</t>
        </is>
      </c>
      <c r="D13" s="5" t="inlineStr">
        <is>
          <t>Портально-фрезерные с ЧПУ PM3080HZ (до 8000 × 3500 мм, 40 т) и PM2040HA (4000 × 2500 мм, 20 т)</t>
        </is>
      </c>
      <c r="E13" s="4" t="inlineStr">
        <is>
          <t>+7 (34249) 390-11, +7 (342) 258-00-68</t>
        </is>
      </c>
      <c r="F13" s="4" t="inlineStr">
        <is>
          <t>egorova@zmo1.ru</t>
        </is>
      </c>
      <c r="G13" s="5" t="inlineStr">
        <is>
          <t>Директор Егоров Ярослав Витальевич</t>
        </is>
      </c>
      <c r="H13" s="9" t="inlineStr"/>
      <c r="I13" s="5" t="inlineStr">
        <is>
          <t>Чьи станки: у юрлица основных средств 26,1 млн ₽, а два портала стоят кратно больше</t>
        </is>
      </c>
      <c r="J13" s="5" t="inlineStr"/>
      <c r="K13" s="5" t="inlineStr"/>
    </row>
    <row r="14" ht="86" customHeight="1">
      <c r="A14" s="4" t="inlineStr">
        <is>
          <t>Уточнить</t>
        </is>
      </c>
      <c r="B14" s="4" t="inlineStr">
        <is>
          <t>ООО ПК «НТМЗ»</t>
        </is>
      </c>
      <c r="C14" s="5" t="inlineStr">
        <is>
          <t>Нижний Тагил</t>
        </is>
      </c>
      <c r="D14" s="5" t="inlineStr">
        <is>
          <t>Портальный KAFO BMC-4122, стол 4000 × 2100 мм. И более сильный YSM 7030: стол 6600 × 2400 мм, ходы 7000 / 3000 / 1500 мм, детали до 25 тонн, введён в апреле 2026. Чугун назван прямо: «корпусные детали из чугуна и стали весом до 10 тонн»</t>
        </is>
      </c>
      <c r="E14" s="4" t="inlineStr">
        <is>
          <t>+7 (343) 592-90-21, +7 (343) 592-90-22</t>
        </is>
      </c>
      <c r="F14" s="4" t="inlineStr">
        <is>
          <t>info@ntmzpk.ru · office@ntmzpk.ru</t>
        </is>
      </c>
      <c r="G14" s="5" t="inlineStr"/>
      <c r="H14" s="9" t="inlineStr"/>
      <c r="I14" s="5" t="inlineStr">
        <is>
          <t>На чьём балансе станок: у самого юрлица основных средств 4,7 млн ₽. Учредитель — АО «НПП „Машпром“»</t>
        </is>
      </c>
      <c r="J14" s="5" t="inlineStr"/>
      <c r="K14" s="5" t="inlineStr"/>
    </row>
    <row r="15" ht="86" customHeight="1">
      <c r="A15" s="8" t="inlineStr">
        <is>
          <t>Целевой</t>
        </is>
      </c>
      <c r="B15" s="4" t="inlineStr">
        <is>
          <t>АО «ПНИТИ»</t>
        </is>
      </c>
      <c r="C15" s="5" t="inlineStr">
        <is>
          <t>Пермь</t>
        </is>
      </c>
      <c r="D15" s="5" t="inlineStr">
        <is>
          <t>Портальный BMC-5131 с угловой головой: стол 5000 × 2900 мм, нагрузка 20 тонн, ходы 5100 / 3100 / 1100 мм, максимальный габарит заготовки 5000 × 2800 × 850 мм. Угловая голова — прямо под радиальные борта под углом</t>
        </is>
      </c>
      <c r="E15" s="4" t="inlineStr">
        <is>
          <t>8 (342) 240-25-04</t>
        </is>
      </c>
      <c r="F15" s="4" t="inlineStr">
        <is>
          <t>marketing@pniti.ru</t>
        </is>
      </c>
      <c r="G15" s="5" t="inlineStr"/>
      <c r="H15" s="9" t="inlineStr"/>
      <c r="I15" s="5" t="inlineStr">
        <is>
          <t>Берут ли серию 644 детали и какой темп дадут</t>
        </is>
      </c>
      <c r="J15" s="5" t="inlineStr"/>
      <c r="K15" s="5" t="inlineStr"/>
    </row>
    <row r="16" ht="86" customHeight="1">
      <c r="A16" s="8" t="inlineStr">
        <is>
          <t>Целевой</t>
        </is>
      </c>
      <c r="B16" s="4" t="inlineStr">
        <is>
          <t>ООО «МЗТМ»</t>
        </is>
      </c>
      <c r="C16" s="5" t="inlineStr">
        <is>
          <t>Магнитогорск</t>
        </is>
      </c>
      <c r="D16" s="5" t="inlineStr">
        <is>
          <t>Фрезерные центры: стол 4000 × 2000 мм, заготовка до 14 тонн. Расточные на порталах: стол 4000 × 3000 мм, до 60 тонн. Оба передела своим оборудованием, по массе запас семикратный</t>
        </is>
      </c>
      <c r="E16" s="4" t="inlineStr">
        <is>
          <t>+7 (3519) 33-09-59</t>
        </is>
      </c>
      <c r="F16" s="4" t="inlineStr">
        <is>
          <t>mztm74@mail.ru</t>
        </is>
      </c>
      <c r="G16" s="5" t="inlineStr"/>
      <c r="H16" s="9" t="inlineStr">
        <is>
          <t>Производство: п. Приморский, ул. Носова, 4/1</t>
        </is>
      </c>
      <c r="I16" s="5" t="inlineStr">
        <is>
          <t>Сколько у них станков на самом деле: источники расходятся втрое</t>
        </is>
      </c>
      <c r="J16" s="5" t="inlineStr"/>
      <c r="K16" s="5" t="inlineStr"/>
    </row>
    <row r="17" ht="86" customHeight="1">
      <c r="A17" s="4" t="inlineStr">
        <is>
          <t>Уточнить</t>
        </is>
      </c>
      <c r="B17" s="4" t="inlineStr">
        <is>
          <t>ООО «МИАН»</t>
        </is>
      </c>
      <c r="C17" s="5" t="inlineStr">
        <is>
          <t>Златоуст</t>
        </is>
      </c>
      <c r="D17" s="5" t="inlineStr">
        <is>
          <t>Портальные ОЦ до 3100 × 2200 × 1000 мм до 10 тонн, расточные с ЧПУ до 10 000 × 2800 мм</t>
        </is>
      </c>
      <c r="E17" s="4" t="inlineStr">
        <is>
          <t>+7 (3513) 69-02-18, +7 (902) 866-66-20</t>
        </is>
      </c>
      <c r="F17" s="4" t="inlineStr">
        <is>
          <t>gav@zlatmian.ru · mian2010@list.ru</t>
        </is>
      </c>
      <c r="G17" s="5" t="inlineStr"/>
      <c r="H17" s="9" t="inlineStr"/>
      <c r="I17" s="5" t="inlineStr">
        <is>
          <t>Что с заводом после 2021 года — свежих данных в открытых источниках нет</t>
        </is>
      </c>
      <c r="J17" s="5" t="inlineStr"/>
      <c r="K17" s="5" t="inlineStr"/>
    </row>
    <row r="18" ht="86" customHeight="1">
      <c r="A18" s="8" t="inlineStr">
        <is>
          <t>Целевой</t>
        </is>
      </c>
      <c r="B18" s="4" t="inlineStr">
        <is>
          <t>ООО «Эльмаш»</t>
        </is>
      </c>
      <c r="C18" s="5" t="inlineStr">
        <is>
          <t>Нижний Новгород</t>
        </is>
      </c>
      <c r="D18" s="5" t="inlineStr">
        <is>
          <t>Портальное оборудование, зона 3200 × 1600 × 1000 мм, заготовка до 10 000 кг — деталь с приспособлением проходит втрое. Чугун и давальческая схема названы прямо</t>
        </is>
      </c>
      <c r="E18" s="4" t="inlineStr">
        <is>
          <t>Отдел продаж механообработки: +7 (83120) 616-44 · Секретарь: +7 (83120) 616-40</t>
        </is>
      </c>
      <c r="F18" s="4" t="inlineStr"/>
      <c r="G18" s="5" t="inlineStr">
        <is>
          <t>Директор Ерохин Михаил Иванович</t>
        </is>
      </c>
      <c r="H18" s="9" t="inlineStr"/>
      <c r="I18" s="5" t="inlineStr">
        <is>
          <t>Размер стола именно под нашу деталь: 10 тонн заявлены по группе, а не по конкретному станку. И какая схема прижима применима</t>
        </is>
      </c>
      <c r="J18" s="5" t="inlineStr"/>
      <c r="K18" s="5" t="inlineStr"/>
    </row>
    <row r="19" ht="86" customHeight="1">
      <c r="A19" s="8" t="inlineStr">
        <is>
          <t>Целевой</t>
        </is>
      </c>
      <c r="B19" s="4" t="inlineStr">
        <is>
          <t>ООО Компания «Чебо»</t>
        </is>
      </c>
      <c r="C19" s="5" t="inlineStr">
        <is>
          <t>Новое Атлашево, Чувашия</t>
        </is>
      </c>
      <c r="D19" s="5" t="inlineStr">
        <is>
          <t>Четырёхкоординатный ОЦ; по расточному заявлено 2500 × 1500 мм, до 5 тонн</t>
        </is>
      </c>
      <c r="E19" s="4" t="inlineStr">
        <is>
          <t>+7 (8352) 28-50-19</t>
        </is>
      </c>
      <c r="F19" s="4" t="inlineStr">
        <is>
          <t>tvc@chebo.ru</t>
        </is>
      </c>
      <c r="G19" s="5" t="inlineStr"/>
      <c r="H19" s="9" t="inlineStr"/>
      <c r="I19" s="5" t="inlineStr">
        <is>
          <t>Размеры по фрезерной группе — на сайте их нет</t>
        </is>
      </c>
      <c r="J19" s="5" t="inlineStr"/>
      <c r="K19" s="5" t="inlineStr"/>
    </row>
    <row r="20" ht="86" customHeight="1">
      <c r="A20" s="4" t="inlineStr">
        <is>
          <t>Запасной</t>
        </is>
      </c>
      <c r="B20" s="4" t="inlineStr">
        <is>
          <t>ООО «ДжиЭрСи»</t>
        </is>
      </c>
      <c r="C20" s="5" t="inlineStr">
        <is>
          <t>Щёлково</t>
        </is>
      </c>
      <c r="D20" s="5" t="inlineStr">
        <is>
          <t>Оговорка: на фрезерную группу наша ширина 1150 мм не встаёт — столы 1800 × 800 и 1800 × 630 мм. Обе серии берёт только координатно-расточной 2Е470А, стол 1400 × 2240 мм, до 2500 кг</t>
        </is>
      </c>
      <c r="E20" s="4" t="inlineStr">
        <is>
          <t>8 (800) 500-63-74</t>
        </is>
      </c>
      <c r="F20" s="4" t="inlineStr">
        <is>
          <t>zapros@1grc.ru</t>
        </is>
      </c>
      <c r="G20" s="5" t="inlineStr"/>
      <c r="H20" s="9" t="inlineStr"/>
      <c r="I20" s="5" t="inlineStr">
        <is>
          <t>Чем будете фрезеровать ширину 1150 мм — на расточном плоскости не получить. И два жёстких ограничения самого 2Е470А: грузоподъёмность 2500 кг — деталь 1895 кг проходит, а вместе с приспособлением (2900–3300 кг) уже нет; наибольший диаметр сверления 40 мм при нашем нагнетательном отверстии Ø120</t>
        </is>
      </c>
      <c r="J20" s="5" t="inlineStr"/>
      <c r="K20" s="5" t="inlineStr"/>
    </row>
    <row r="21" ht="86" customHeight="1">
      <c r="A21" s="4" t="inlineStr">
        <is>
          <t>Запасной</t>
        </is>
      </c>
      <c r="B21" s="4" t="inlineStr">
        <is>
          <t>ПАО «ЧКПЗ»</t>
        </is>
      </c>
      <c r="C21" s="5" t="inlineStr">
        <is>
          <t>Челябинск</t>
        </is>
      </c>
      <c r="D21" s="5" t="inlineStr">
        <is>
          <t>Портальный VB-2516, горизонтальный четырёхосевой HAAS EC-2000, Skoda W200 со столом 3500 × 3500 мм до 60 тонн</t>
        </is>
      </c>
      <c r="E21" s="4" t="inlineStr">
        <is>
          <t>+7 (351) 259-45-01, +7 (351) 259-10-91</t>
        </is>
      </c>
      <c r="F21" s="4" t="inlineStr"/>
      <c r="G21" s="5" t="inlineStr"/>
      <c r="H21" s="9" t="inlineStr">
        <is>
          <t>Челябинск, ул. Ф. Горелова, 12</t>
        </is>
      </c>
      <c r="I21" s="5" t="inlineStr">
        <is>
          <t>Не авансировать. Заёмные 44,3 млрд ₽, кредиторская задолженность 69,9 млрд ₽, в апреле 2026 кредитор объявил намерение банкротить</t>
        </is>
      </c>
      <c r="J21" s="5" t="inlineStr"/>
      <c r="K21" s="5" t="inlineStr"/>
    </row>
    <row r="22" ht="86" customHeight="1">
      <c r="A22" s="4" t="inlineStr">
        <is>
          <t>Запасной</t>
        </is>
      </c>
      <c r="B22" s="4" t="inlineStr">
        <is>
          <t>АО «ТЯЖМАШ»</t>
        </is>
      </c>
      <c r="C22" s="5" t="inlineStr">
        <is>
          <t>Сызрань</t>
        </is>
      </c>
      <c r="D22" s="5" t="inlineStr">
        <is>
          <t>Портальные ОЦ, наибольший стол 4500 × 12 000 мм; более 100 фрезерных</t>
        </is>
      </c>
      <c r="E22" s="4" t="inlineStr">
        <is>
          <t>Справочная: +7 (8464) 37-81-09 · Маркетинг: 8 800 350 81 92</t>
        </is>
      </c>
      <c r="F22" s="4" t="inlineStr">
        <is>
          <t>market@tyazhmash.com · sale@tyazhmash.com</t>
        </is>
      </c>
      <c r="G22" s="5" t="inlineStr"/>
      <c r="H22" s="9" t="inlineStr"/>
      <c r="I22" s="5" t="inlineStr">
        <is>
          <t>Берут ли работу со стороны — открыто услуга не предлагается. В 2004 обрабатывали чужие тюбинги Ø14 м, то есть отказ не предрешён. И грузоподъёмность столов — она не опубликована</t>
        </is>
      </c>
      <c r="J22" s="5" t="inlineStr"/>
      <c r="K22" s="5" t="inlineStr"/>
    </row>
    <row r="23" ht="86" customHeight="1">
      <c r="A23" s="4" t="inlineStr">
        <is>
          <t>Запасной</t>
        </is>
      </c>
      <c r="B23" s="4" t="inlineStr">
        <is>
          <t>ООО «Вариант-999»</t>
        </is>
      </c>
      <c r="C23" s="5" t="inlineStr">
        <is>
          <t>Красноярск</t>
        </is>
      </c>
      <c r="D23" s="5" t="inlineStr">
        <is>
          <t>32 фрезерных центра, детали до 13 тонн и 1300 × 2500 × 4000 мм — по габариту и массе деталь с приспособлением проходит свободно. Но все 32 трёхосевые: радиальный борт под углом трёхосевой станок без поворотной головы одним установом не режет</t>
        </is>
      </c>
      <c r="E23" s="4" t="inlineStr">
        <is>
          <t>+7 (391) 201-60-39</t>
        </is>
      </c>
      <c r="F23" s="4" t="inlineStr"/>
      <c r="G23" s="5" t="inlineStr"/>
      <c r="H23" s="9" t="inlineStr">
        <is>
          <t>Осторожно: домен вариант-999.рф принадлежит другому предприятию, проверять при звонке, туда ли попал</t>
        </is>
      </c>
      <c r="I23" s="5" t="inlineStr">
        <is>
          <t>Обработка прямо в точке поставки первого заказа, крюк ноль километров — по перевозке лучший вариант из всех. Против: иск на 347,4 млн ₽, это три четверти их чистых активов, и под радиальные борта на трёхосевом нужен угловой блок с зашитым углом на каждую геометрию. Спросить, чем они режут наклонные плоскости</t>
        </is>
      </c>
      <c r="J23" s="5" t="inlineStr"/>
      <c r="K23" s="5" t="inlineStr"/>
    </row>
    <row r="24" ht="86" customHeight="1">
      <c r="A24" s="4" t="inlineStr">
        <is>
          <t>Запасной</t>
        </is>
      </c>
      <c r="B24" s="4" t="inlineStr">
        <is>
          <t>АО «Пензадизельмаш»</t>
        </is>
      </c>
      <c r="C24" s="5" t="inlineStr">
        <is>
          <t>Пенза</t>
        </is>
      </c>
      <c r="D24" s="5" t="inlineStr">
        <is>
          <t>Обрабатывающие центры DMU 50, HEC 800, CTX gamma 3000 TC. Все опубликованные габариты меньше нашей детали</t>
        </is>
      </c>
      <c r="E24" s="4" t="inlineStr">
        <is>
          <t>Приёмная: +7 (8412) 36-92-10 · Технический директор: +7 (8412) 36-93-61 · Коммерческий: +7 (8412) 36-94-33</t>
        </is>
      </c>
      <c r="F24" s="4" t="inlineStr"/>
      <c r="G24" s="5" t="inlineStr"/>
      <c r="H24" s="9" t="inlineStr"/>
      <c r="I24" s="5" t="inlineStr">
        <is>
          <t>Есть ли станок под 2083 × 1150 мм. Плечо нулевое, ради этого стоит спросить. Разговор строить как обмен загрузкой</t>
        </is>
      </c>
      <c r="J24" s="5" t="inlineStr"/>
      <c r="K24" s="5" t="inlineStr"/>
    </row>
    <row r="25" ht="86" customHeight="1">
      <c r="A25" s="4" t="inlineStr">
        <is>
          <t>Запасной</t>
        </is>
      </c>
      <c r="B25" s="4" t="inlineStr">
        <is>
          <t>ООО «НПО «НефтехГазМаш»</t>
        </is>
      </c>
      <c r="C25" s="5" t="inlineStr">
        <is>
          <t>Рузаевка</t>
        </is>
      </c>
      <c r="D25" s="5" t="inlineStr">
        <is>
          <t>Станки ЧПУ фрезерной и расточной группы — зона 1500 × 1000 × 1000 мм, наша длина 2083 туда не входит. Но строгальная группа берёт: детали до 4000 × 1250 × 1120 мм, включая наклонные поверхности — это прямо про радиальные борта под углом</t>
        </is>
      </c>
      <c r="E25" s="4" t="inlineStr">
        <is>
          <t>+7 (83451) 6-10-32</t>
        </is>
      </c>
      <c r="F25" s="4" t="inlineStr">
        <is>
          <t>ok_ngm@mail.ru · neftehgazmash@mail.ru</t>
        </is>
      </c>
      <c r="G25" s="5" t="inlineStr"/>
      <c r="H25" s="9" t="inlineStr">
        <is>
          <t>Рузаевка, ул. Пионерская, 119</t>
        </is>
      </c>
      <c r="I25" s="5" t="inlineStr">
        <is>
          <t>Есть ли станок с ЧПУ длиннее 2083 мм. Если нет — готовы ли делать строганием и какая тогда трудоёмкость. И отдельно: строгальная берёт ширину 1250 мм, деталь 1150 — запас всего 50 мм на сторону, поэтому спросить, можно ли прижимать только по торцам: приспособление с прижимами по контуру в 1250 уже не войдёт. 116 км от Пензы — ближайший из всех, ради этого стоит спросить</t>
        </is>
      </c>
      <c r="J25" s="5" t="inlineStr"/>
      <c r="K25" s="5" t="inlineStr"/>
    </row>
  </sheetData>
  <autoFilter ref="A5:K25"/>
  <mergeCells count="1">
    <mergeCell ref="A3:G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92" customWidth="1" min="3" max="3"/>
    <col width="46" customWidth="1" min="4" max="4"/>
  </cols>
  <sheetData>
    <row r="1" ht="22" customHeight="1">
      <c r="A1" s="1" t="inlineStr">
        <is>
          <t>Что нужно от отца</t>
        </is>
      </c>
    </row>
    <row r="2">
      <c r="A2" s="2" t="inlineStr">
        <is>
          <t>Жирным — введено руками. Обычным — посчитано формулой, меняется само.</t>
        </is>
      </c>
    </row>
    <row r="3">
      <c r="A3" s="6" t="inlineStr">
        <is>
          <t>Первые пять держат рассылку: пока их нет, разные заводы посчитают разную работу.</t>
        </is>
      </c>
    </row>
    <row r="5" ht="30" customHeight="1">
      <c r="A5" s="3" t="inlineStr">
        <is>
          <t>№</t>
        </is>
      </c>
      <c r="B5" s="3" t="inlineStr">
        <is>
          <t>Держит рассылку</t>
        </is>
      </c>
      <c r="C5" s="3" t="inlineStr">
        <is>
          <t>Вопрос</t>
        </is>
      </c>
      <c r="D5" s="3" t="inlineStr">
        <is>
          <t>Ответ</t>
        </is>
      </c>
    </row>
    <row r="6" ht="62" customHeight="1">
      <c r="A6" s="4" t="n">
        <v>1</v>
      </c>
      <c r="B6" s="8" t="inlineStr">
        <is>
          <t>ДА</t>
        </is>
      </c>
      <c r="C6" s="5" t="inlineStr">
        <is>
          <t>Фальцевая канавка: 10–12 мм или 32 мм. В записи ты называл ширину 10–12, на чертеже стоит 32 +5/−2. Расхождение втрое, и оно уходит подрядчику в запрос как есть. Снять до рассылки.</t>
        </is>
      </c>
      <c r="D6" s="5" t="inlineStr"/>
    </row>
    <row r="7" ht="62" customHeight="1">
      <c r="A7" s="4" t="n">
        <v>2</v>
      </c>
      <c r="B7" s="8" t="inlineStr">
        <is>
          <t>ДА</t>
        </is>
      </c>
      <c r="C7" s="5" t="inlineStr">
        <is>
          <t>«Ширина бывает до 1300 мм» (14:32). Твои слова сошлись с документами: по Ø8,5 наибольшая позиция 1150 мм, и это подтверждено чертежами. Осталось одно: относится ли 1300 к какой-то позиции вне присланного комплекта. Если да — требования к рабочей зоне станка занижены и отбор надо пересматривать.</t>
        </is>
      </c>
      <c r="D7" s="5" t="inlineStr"/>
    </row>
    <row r="8" ht="62" customHeight="1">
      <c r="A8" s="4" t="n">
        <v>3</v>
      </c>
      <c r="B8" s="8" t="inlineStr">
        <is>
          <t>ДА</t>
        </is>
      </c>
      <c r="C8" s="5" t="inlineStr">
        <is>
          <t>Марка чугуна по каждой позиции. Ты сказал: «я не смог убедить, чтобы они сделали СЧ-20, в итоге СЧ-25». А на чертежах СЧ20 стоит на двух листах из семи — АК-1Д правый (лист 2) и АКП-4 (лист 7), на остальных пяти СЧ25. Отсюда два наблюдения. Первое: у зеркальной пары АК-1Д при одинаковой массе 1539 кг марки разные — у правой СЧ20, у левой СЧ25. Второе: если в итоге договорились на СЧ25, то чертежи старше решения. Нужна одна строка: какая марка на какой позиции — она идёт в запрос и в литьё. Разная твёрдость — разная цена обработки: у СЧ20 при стенке 30 мм не выше НВ 216, у СЧ25 до НВ 238.</t>
        </is>
      </c>
      <c r="D8" s="5" t="inlineStr"/>
    </row>
    <row r="9" ht="62" customHeight="1">
      <c r="A9" s="4" t="n">
        <v>4</v>
      </c>
      <c r="B9" s="8" t="inlineStr">
        <is>
          <t>ДА</t>
        </is>
      </c>
      <c r="C9" s="5" t="inlineStr">
        <is>
          <t>Чья конструкторская документация и можно ли рассылать чертежи. На чертежах «ООО „Тюбинг Центролит“» стоит на пяти листах из семи, на листах 2 и 7 графа организации пустая. Есть ли право передавать чертежи и 3D-модели сторонним подрядчикам. Заводы, которые сами делают тюбинги, из рассылки уже убраны — осталось семь адресов, и конкурентов среди них нет. Но вопрос о праве на КД остаётся: ответ нужен до рассылки, а не после.</t>
        </is>
      </c>
      <c r="D9" s="5" t="inlineStr"/>
    </row>
    <row r="10" ht="62" customHeight="1">
      <c r="A10" s="4" t="n">
        <v>5</v>
      </c>
      <c r="B10" s="8" t="inlineStr">
        <is>
          <t>ДА</t>
        </is>
      </c>
      <c r="C10" s="5" t="inlineStr">
        <is>
          <t>Можно ли ослабить ±1′10″. Это единственный параметр, который поднимает работу в другой класс станков и объясняет цену 80–100 тысяч. Откуда он: из ГОСТ Р 57054-2016, из ТУ 35-521-90 или из старой документации на перемычку 85.4? Обязателен по всем четырём бортам или только по радиальным? Функциональное требование в самом стандарте — кольцо собирается без зазоров, а это не то же самое, что угол на каждой плоскости.</t>
        </is>
      </c>
      <c r="D10" s="5" t="inlineStr"/>
    </row>
    <row r="11" ht="62" customHeight="1">
      <c r="A11" s="4" t="n">
        <v>6</v>
      </c>
      <c r="B11" s="5" t="inlineStr"/>
      <c r="C11" s="5" t="inlineStr">
        <is>
          <t>Где лежат точки 1, 2, 3 базовой плоскости «0» — на общей литой поверхности или уже на бобышках. От этого зависит, даёт ли что-нибудь ход с литыми приливами.</t>
        </is>
      </c>
      <c r="D11" s="5" t="inlineStr"/>
    </row>
    <row r="12" ht="62" customHeight="1">
      <c r="A12" s="4" t="n">
        <v>7</v>
      </c>
      <c r="B12" s="5" t="inlineStr"/>
      <c r="C12" s="5" t="inlineStr">
        <is>
          <t>Цена продажи по подписанному красноярскому контракту и цена литья у «Комлита» за килограмм. Без них считать нечего.</t>
        </is>
      </c>
      <c r="D12" s="5" t="inlineStr"/>
    </row>
    <row r="13" ht="62" customHeight="1">
      <c r="A13" s="4" t="n">
        <v>8</v>
      </c>
      <c r="B13" s="5" t="inlineStr"/>
      <c r="C13" s="5" t="inlineStr">
        <is>
          <t>8–10 часов — на каком станке и что в них входило: только фрезерование или весь маршрут со сверловкой, зенкованием и резьбой.</t>
        </is>
      </c>
      <c r="D13" s="5" t="inlineStr"/>
    </row>
    <row r="14" ht="62" customHeight="1">
      <c r="A14" s="4" t="n">
        <v>9</v>
      </c>
      <c r="B14" s="5" t="inlineStr"/>
      <c r="C14" s="5" t="inlineStr">
        <is>
          <t>Названия трёх, кто уже дал цену и марки их станков, которые обещали твои специалисты.</t>
        </is>
      </c>
      <c r="D14" s="5" t="inlineStr"/>
    </row>
    <row r="15" ht="62" customHeight="1">
      <c r="A15" s="4" t="n">
        <v>10</v>
      </c>
      <c r="B15" s="5" t="inlineStr"/>
      <c r="C15" s="5" t="inlineStr">
        <is>
          <t>Что уцелело от Днепротяжмаша и «Днепротехсервиса» — чертежи приспособлений и кондукторов, технологические карты, нормы времени, люди. Банкротная процедура идёт до 17.11.2026, после неё архивов не будет. Станок в России покупается за месяц, комплект документации на оснастку под три диаметра не покупается нигде.</t>
        </is>
      </c>
      <c r="D15" s="5" t="inlineStr"/>
    </row>
    <row r="16" ht="62" customHeight="1">
      <c r="A16" s="4" t="n">
        <v>11</v>
      </c>
      <c r="B16" s="5" t="inlineStr"/>
      <c r="C16" s="5" t="inlineStr">
        <is>
          <t>Нарезана ли модельная оснастка у «Комлита» по Ø8,5. От этого зависит, работают приливы на всём пакете или только на 448 деталях.</t>
        </is>
      </c>
      <c r="D16" s="5" t="inlineStr"/>
    </row>
    <row r="17" ht="62" customHeight="1">
      <c r="A17" s="4" t="n">
        <v>12</v>
      </c>
      <c r="B17" s="5" t="inlineStr"/>
      <c r="C17" s="5" t="inlineStr">
        <is>
          <t>Штрафные санкции в красноярском договоре за срыв срока.</t>
        </is>
      </c>
      <c r="D17" s="5" t="inlineStr"/>
    </row>
    <row r="18" ht="62" customHeight="1">
      <c r="A18" s="4" t="n">
        <v>13</v>
      </c>
      <c r="B18" s="5" t="inlineStr"/>
      <c r="C18" s="5" t="inlineStr">
        <is>
          <t>По какому документу нормируется Ø10,5. В основных таблицах ГОСТ Р 57054-2016 этого диаметра нет; по ТУ 35-521-90 охват не подтверждён — полный текст ТУ получить не удалось.</t>
        </is>
      </c>
      <c r="D18" s="5" t="inlineStr"/>
    </row>
    <row r="19" ht="62" customHeight="1">
      <c r="A19" s="4" t="n">
        <v>14</v>
      </c>
      <c r="B19" s="5" t="inlineStr"/>
      <c r="C19" s="5" t="inlineStr">
        <is>
          <t>Готов ли дать одну отливку на замер времени в многоместном приспособлении.</t>
        </is>
      </c>
      <c r="D19" s="5" t="inlineStr"/>
    </row>
    <row r="20" ht="62" customHeight="1">
      <c r="A20" s="4" t="n">
        <v>15</v>
      </c>
      <c r="B20" s="5" t="inlineStr"/>
      <c r="C20" s="5" t="inlineStr">
        <is>
          <t>Масса АК-1Д: 1539 или 1506 кг. На чертеже 1539 кг, в «Базе тюбингов» 1506. Разница 33 кг на этой позиции, но по остальным база выше чертежа, и на комплекте они гасятся: 6786 кг против 6784 кг. По подписанному заказу Ø8,5 это 56 кг — на транспортный расчёт и цену литья не влияет. Уточнить, какая цифра рабочая. Какая цифра верна.</t>
        </is>
      </c>
      <c r="D20" s="5" t="inlineStr"/>
    </row>
    <row r="21" ht="62" customHeight="1">
      <c r="A21" s="4" t="n">
        <v>16</v>
      </c>
      <c r="B21" s="8" t="inlineStr">
        <is>
          <t>ДА</t>
        </is>
      </c>
      <c r="C21" s="5" t="inlineStr">
        <is>
          <t>По 6 или по 7 деталей идут московские комплекты. Считаем 644 детали исходя из того, что все три заказа — комплекты по 7 деталей на проём 3,75 м. По московским это только из «Базы тюбингов», а там есть оба варианта: проём 3,0 м даёт 6 деталей (6440 и 7372 кг), проём 3,75 м — 7 (7129 и 8223). Если хотя бы один заказ окажется на проём 3,0 — объём станет меньше 644.</t>
        </is>
      </c>
      <c r="D21" s="5" t="inlineStr"/>
    </row>
  </sheetData>
  <autoFilter ref="A5:D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60" customWidth="1" min="5" max="5"/>
  </cols>
  <sheetData>
    <row r="1" ht="22" customHeight="1">
      <c r="A1" s="1" t="inlineStr">
        <is>
          <t>Перевозка: сколько стоит довезти</t>
        </is>
      </c>
    </row>
    <row r="2">
      <c r="A2" s="2" t="inlineStr">
        <is>
          <t>Жирным — введено руками. Обычным — посчитано формулой, меняется само.</t>
        </is>
      </c>
    </row>
    <row r="4" ht="30" customHeight="1">
      <c r="A4" s="3" t="inlineStr">
        <is>
          <t>Показатель</t>
        </is>
      </c>
      <c r="B4" s="3" t="inlineStr">
        <is>
          <t>Ø8,5 Красноярск</t>
        </is>
      </c>
      <c r="C4" s="3" t="inlineStr">
        <is>
          <t>Ø9,5 Москва</t>
        </is>
      </c>
      <c r="D4" s="3" t="inlineStr">
        <is>
          <t>Ø10,5 Москва</t>
        </is>
      </c>
      <c r="E4" s="3" t="inlineStr">
        <is>
          <t>Откуда число</t>
        </is>
      </c>
    </row>
    <row r="5" ht="30" customHeight="1">
      <c r="A5" s="5" t="inlineStr">
        <is>
          <t>Расстояние от Пензы, км</t>
        </is>
      </c>
      <c r="B5" s="4" t="n">
        <v>3622</v>
      </c>
      <c r="C5" s="4" t="n">
        <v>664</v>
      </c>
      <c r="D5" s="4" t="n">
        <v>664</v>
      </c>
      <c r="E5" s="9" t="inlineStr">
        <is>
          <t>По дорожной сети грузовым профилем</t>
        </is>
      </c>
    </row>
    <row r="6" ht="30" customHeight="1">
      <c r="A6" s="5" t="inlineStr">
        <is>
          <t>Ставка фуры, ₽/км с НДС</t>
        </is>
      </c>
      <c r="B6" s="4" t="n">
        <v>87</v>
      </c>
      <c r="C6" s="4" t="n">
        <v>133</v>
      </c>
      <c r="D6" s="4" t="n">
        <v>133</v>
      </c>
      <c r="E6" s="9" t="inlineStr">
        <is>
          <t>По полосе длины плеча: от 3000 км — 87, 500–1000 км — 133</t>
        </is>
      </c>
    </row>
    <row r="7" ht="30" customHeight="1">
      <c r="A7" s="5" t="inlineStr">
        <is>
          <t>Деталей в фуре, шт</t>
        </is>
      </c>
      <c r="B7" s="4" t="n">
        <v>20</v>
      </c>
      <c r="C7" s="4" t="n">
        <v>19</v>
      </c>
      <c r="D7" s="4" t="n">
        <v>17</v>
      </c>
      <c r="E7" s="9" t="inlineStr">
        <is>
          <t>По габариту и по массе, что жёстче</t>
        </is>
      </c>
    </row>
    <row r="8" ht="30" customHeight="1">
      <c r="A8" s="5" t="inlineStr">
        <is>
          <t>Средняя масса детали, кг</t>
        </is>
      </c>
      <c r="B8" s="4" t="n">
        <v>969</v>
      </c>
      <c r="C8" s="4" t="n">
        <v>1018</v>
      </c>
      <c r="D8" s="4" t="n">
        <v>1174</v>
      </c>
      <c r="E8" s="9" t="inlineStr">
        <is>
          <t>Масса комплекта делённая на 7</t>
        </is>
      </c>
    </row>
    <row r="9">
      <c r="A9" s="5" t="inlineStr">
        <is>
          <t>Рейс, ₽ с НДС</t>
        </is>
      </c>
      <c r="B9" s="10">
        <f>B5*B6</f>
        <v/>
      </c>
      <c r="C9" s="10">
        <f>C5*C6</f>
        <v/>
      </c>
      <c r="D9" s="10">
        <f>D5*D6</f>
        <v/>
      </c>
      <c r="E9" s="9" t="inlineStr">
        <is>
          <t>Расстояние × ставка</t>
        </is>
      </c>
    </row>
    <row r="10">
      <c r="A10" s="5" t="inlineStr">
        <is>
          <t>Рейс, ₽ без НДС</t>
        </is>
      </c>
      <c r="B10" s="10">
        <f>B9/1.22</f>
        <v/>
      </c>
      <c r="C10" s="10">
        <f>C9/1.22</f>
        <v/>
      </c>
      <c r="D10" s="10">
        <f>D9/1.22</f>
        <v/>
      </c>
      <c r="E10" s="9" t="inlineStr">
        <is>
          <t>Ставки перевозчика даны с НДС</t>
        </is>
      </c>
    </row>
    <row r="11">
      <c r="A11" s="5" t="inlineStr">
        <is>
          <t>На деталь, ₽ без НДС</t>
        </is>
      </c>
      <c r="B11" s="11">
        <f>B10/B7</f>
        <v/>
      </c>
      <c r="C11" s="11">
        <f>C10/C7</f>
        <v/>
      </c>
      <c r="D11" s="11">
        <f>D10/D7</f>
        <v/>
      </c>
      <c r="E11" s="9" t="inlineStr">
        <is>
          <t>Рейс делённый на число деталей в фуре</t>
        </is>
      </c>
    </row>
    <row r="12">
      <c r="A12" s="5" t="inlineStr">
        <is>
          <t>На килограмм, ₽ без НДС</t>
        </is>
      </c>
      <c r="B12" s="11">
        <f>B11/B8</f>
        <v/>
      </c>
      <c r="C12" s="11">
        <f>C11/C8</f>
        <v/>
      </c>
      <c r="D12" s="11">
        <f>D11/D8</f>
        <v/>
      </c>
      <c r="E12" s="9" t="inlineStr">
        <is>
          <t>На деталь делённое на массу детали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26" customWidth="1" min="4" max="4"/>
    <col width="26" customWidth="1" min="5" max="5"/>
  </cols>
  <sheetData>
    <row r="1" ht="22" customHeight="1">
      <c r="A1" s="1" t="inlineStr">
        <is>
          <t>Потолок цены обработки: при какой цене проход обращается в ноль</t>
        </is>
      </c>
    </row>
    <row r="2">
      <c r="A2" s="2" t="inlineStr">
        <is>
          <t>Жирным — введено руками. Обычным — посчитано формулой, меняется само.</t>
        </is>
      </c>
    </row>
    <row r="3">
      <c r="A3" s="6" t="inlineStr">
        <is>
          <t>Это расчёт при названных допущениях, а не цена рынка. Ни одного своего коммерческого предложения у нас нет. Меняй жирные числа — остальное пересчитается.</t>
        </is>
      </c>
    </row>
    <row r="5">
      <c r="A5" s="1" t="inlineStr">
        <is>
          <t>Исходные данные</t>
        </is>
      </c>
    </row>
    <row r="6" ht="30" customHeight="1">
      <c r="A6" s="3" t="inlineStr">
        <is>
          <t>Что</t>
        </is>
      </c>
      <c r="B6" s="3" t="inlineStr">
        <is>
          <t>Значение</t>
        </is>
      </c>
      <c r="C6" s="3" t="inlineStr">
        <is>
          <t>Единица</t>
        </is>
      </c>
      <c r="D6" s="3" t="inlineStr">
        <is>
          <t>Откуда</t>
        </is>
      </c>
    </row>
    <row r="7" ht="28" customHeight="1">
      <c r="A7" s="5" t="inlineStr">
        <is>
          <t>Контракт: сумма</t>
        </is>
      </c>
      <c r="B7" s="12" t="n">
        <v>73562335.28</v>
      </c>
      <c r="C7" s="5" t="inlineStr">
        <is>
          <t>₽ с НДС</t>
        </is>
      </c>
      <c r="D7" s="9" t="inlineStr">
        <is>
          <t>ООО «ТЦЛ» с «Метростроем Северной Столицы», аукцион 32616136296 от 23.07.2026</t>
        </is>
      </c>
    </row>
    <row r="8" ht="28" customHeight="1">
      <c r="A8" s="5" t="inlineStr">
        <is>
          <t>Контракт: масса</t>
        </is>
      </c>
      <c r="B8" s="12" t="n">
        <v>339.423</v>
      </c>
      <c r="C8" s="5" t="inlineStr">
        <is>
          <t>т</t>
        </is>
      </c>
      <c r="D8" s="9" t="inlineStr">
        <is>
          <t>Там же: 588 тюбингов Ø5,6 м</t>
        </is>
      </c>
    </row>
    <row r="9" ht="28" customHeight="1">
      <c r="A9" s="5" t="inlineStr">
        <is>
          <t>Ставка НДС</t>
        </is>
      </c>
      <c r="B9" s="12" t="n">
        <v>0.22</v>
      </c>
      <c r="C9" s="5" t="inlineStr">
        <is>
          <t>доля</t>
        </is>
      </c>
      <c r="D9" s="9" t="inlineStr">
        <is>
          <t>С 1 января 2026 года, Федеральный закон от 28.11.2025 № 425-ФЗ</t>
        </is>
      </c>
    </row>
    <row r="10" ht="28" customHeight="1">
      <c r="A10" s="5" t="inlineStr">
        <is>
          <t>Литьё, нижняя оценка</t>
        </is>
      </c>
      <c r="B10" s="13" t="n">
        <v>113</v>
      </c>
      <c r="C10" s="5" t="inlineStr">
        <is>
          <t>₽/кг</t>
        </is>
      </c>
      <c r="D10" s="9" t="inlineStr">
        <is>
          <t>Прайс ИКМЗ 108 ₽/кг × коэффициент перехода 1,05</t>
        </is>
      </c>
    </row>
    <row r="11" ht="28" customHeight="1">
      <c r="A11" s="5" t="inlineStr">
        <is>
          <t>Литьё, верхняя оценка</t>
        </is>
      </c>
      <c r="B11" s="13" t="n">
        <v>125</v>
      </c>
      <c r="C11" s="5" t="inlineStr">
        <is>
          <t>₽/кг</t>
        </is>
      </c>
      <c r="D11" s="9" t="inlineStr">
        <is>
          <t>Тот же прайс × коэффициент 1,16</t>
        </is>
      </c>
    </row>
    <row r="13">
      <c r="A13" s="1" t="inlineStr">
        <is>
          <t>Цена продажи — выводится</t>
        </is>
      </c>
    </row>
    <row r="14" ht="30" customHeight="1">
      <c r="A14" s="3" t="inlineStr">
        <is>
          <t>Что</t>
        </is>
      </c>
      <c r="B14" s="3" t="inlineStr">
        <is>
          <t>Значение</t>
        </is>
      </c>
      <c r="C14" s="3" t="inlineStr">
        <is>
          <t>Единица</t>
        </is>
      </c>
      <c r="D14" s="3" t="inlineStr">
        <is>
          <t>Как посчитано</t>
        </is>
      </c>
    </row>
    <row r="15" ht="26" customHeight="1">
      <c r="A15" s="5" t="inlineStr">
        <is>
          <t>Цена с НДС</t>
        </is>
      </c>
      <c r="B15" s="14">
        <f>B7/(B8*1000)</f>
        <v/>
      </c>
      <c r="C15" s="5" t="inlineStr">
        <is>
          <t>₽/кг</t>
        </is>
      </c>
      <c r="D15" s="9" t="inlineStr">
        <is>
          <t>Сумма контракта делённая на массу в килограммах</t>
        </is>
      </c>
    </row>
    <row r="16" ht="26" customHeight="1">
      <c r="A16" s="5" t="inlineStr">
        <is>
          <t>Цена без НДС</t>
        </is>
      </c>
      <c r="B16" s="14">
        <f>B15/(1+B9)</f>
        <v/>
      </c>
      <c r="C16" s="5" t="inlineStr">
        <is>
          <t>₽/кг</t>
        </is>
      </c>
      <c r="D16" s="9" t="inlineStr">
        <is>
          <t>Делим на 1 плюс ставка НДС</t>
        </is>
      </c>
    </row>
    <row r="18">
      <c r="A18" s="1" t="inlineStr">
        <is>
          <t>Потолок по каждому заказу</t>
        </is>
      </c>
    </row>
    <row r="19" ht="30" customHeight="1">
      <c r="A19" s="3" t="inlineStr">
        <is>
          <t>Заказ</t>
        </is>
      </c>
      <c r="B19" s="3" t="inlineStr">
        <is>
          <t>Масса детали, кг</t>
        </is>
      </c>
      <c r="C19" s="3" t="inlineStr">
        <is>
          <t>Транспорт, ₽/кг</t>
        </is>
      </c>
      <c r="D19" s="3" t="inlineStr">
        <is>
          <t>Потолок при лёгком литье, тыс ₽</t>
        </is>
      </c>
      <c r="E19" s="3" t="inlineStr">
        <is>
          <t>Потолок при тяжёлом литье, тыс ₽</t>
        </is>
      </c>
    </row>
    <row r="20" ht="30" customHeight="1">
      <c r="A20" s="5" t="inlineStr">
        <is>
          <t>Ø8,5 — подписан, Красноярск</t>
        </is>
      </c>
      <c r="B20" s="4" t="n">
        <v>969</v>
      </c>
      <c r="C20" s="15" t="n">
        <v>13.3</v>
      </c>
      <c r="D20" s="14">
        <f>($B$16-$B$10-C20)*B20/1000</f>
        <v/>
      </c>
      <c r="E20" s="14">
        <f>($B$16-$B$11-C20)*B20/1000</f>
        <v/>
      </c>
    </row>
    <row r="21" ht="30" customHeight="1">
      <c r="A21" s="5" t="inlineStr">
        <is>
          <t>Ø9,5 — Москва</t>
        </is>
      </c>
      <c r="B21" s="4" t="n">
        <v>1018</v>
      </c>
      <c r="C21" s="15" t="n">
        <v>3.7</v>
      </c>
      <c r="D21" s="14">
        <f>($B$16-$B$10-C21)*B21/1000</f>
        <v/>
      </c>
      <c r="E21" s="14">
        <f>($B$16-$B$11-C21)*B21/1000</f>
        <v/>
      </c>
    </row>
    <row r="22" ht="30" customHeight="1">
      <c r="A22" s="5" t="inlineStr">
        <is>
          <t>Ø10,5 — Москва</t>
        </is>
      </c>
      <c r="B22" s="4" t="n">
        <v>1174</v>
      </c>
      <c r="C22" s="15" t="n">
        <v>3.7</v>
      </c>
      <c r="D22" s="14">
        <f>($B$16-$B$10-C22)*B22/1000</f>
        <v/>
      </c>
      <c r="E22" s="14">
        <f>($B$16-$B$11-C22)*B22/1000</f>
        <v/>
      </c>
    </row>
    <row r="24" ht="44" customHeight="1">
      <c r="A24" s="7" t="inlineStr">
        <is>
          <t>Читать так: потолок — это цена обработки, при которой заработок на детали обращается в ноль. Всё, что выше, — работа в минус. Цель 30–40 тысяч ₽ укладывается в потолок по подписанному заказу только при лёгком литье.</t>
        </is>
      </c>
    </row>
  </sheetData>
  <mergeCells count="2">
    <mergeCell ref="A24:E24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0" customWidth="1" min="3" max="3"/>
    <col width="16" customWidth="1" min="4" max="4"/>
    <col width="20" customWidth="1" min="5" max="5"/>
    <col width="20" customWidth="1" min="6" max="6"/>
    <col width="12" customWidth="1" min="7" max="7"/>
    <col width="12" customWidth="1" min="8" max="8"/>
  </cols>
  <sheetData>
    <row r="1" ht="22" customHeight="1">
      <c r="A1" s="1" t="inlineStr">
        <is>
          <t>Состав комплекта и габариты</t>
        </is>
      </c>
    </row>
    <row r="2">
      <c r="A2" s="2" t="inlineStr">
        <is>
          <t>Жирным — введено руками. Обычным — посчитано формулой, меняется само.</t>
        </is>
      </c>
    </row>
    <row r="4" ht="30" customHeight="1">
      <c r="A4" s="3" t="inlineStr">
        <is>
          <t>Позиция</t>
        </is>
      </c>
      <c r="B4" s="3" t="inlineStr">
        <is>
          <t>Масса по чертежу, кг</t>
        </is>
      </c>
      <c r="C4" s="3" t="inlineStr">
        <is>
          <t>Масса по базе, кг</t>
        </is>
      </c>
      <c r="D4" s="3" t="inlineStr">
        <is>
          <t>Длина, мм</t>
        </is>
      </c>
      <c r="E4" s="3" t="inlineStr">
        <is>
          <t>Полная ширина, мм</t>
        </is>
      </c>
      <c r="F4" s="3" t="inlineStr">
        <is>
          <t>Высота борта, мм</t>
        </is>
      </c>
      <c r="G4" s="3" t="inlineStr">
        <is>
          <t>Материал</t>
        </is>
      </c>
      <c r="H4" s="3" t="inlineStr">
        <is>
          <t>Отверстий</t>
        </is>
      </c>
    </row>
    <row r="5" ht="22" customHeight="1">
      <c r="A5" s="4" t="inlineStr">
        <is>
          <t>АК-1Д правая</t>
        </is>
      </c>
      <c r="B5" s="4" t="n">
        <v>1539</v>
      </c>
      <c r="C5" s="4" t="n">
        <v>1506</v>
      </c>
      <c r="D5" s="4" t="n">
        <v>1710.8</v>
      </c>
      <c r="E5" s="4" t="n">
        <v>1150</v>
      </c>
      <c r="F5" s="4" t="n">
        <v>350</v>
      </c>
      <c r="G5" s="4" t="inlineStr">
        <is>
          <t>СЧ20</t>
        </is>
      </c>
      <c r="H5" s="4" t="n">
        <v>20</v>
      </c>
    </row>
    <row r="6" ht="22" customHeight="1">
      <c r="A6" s="4" t="inlineStr">
        <is>
          <t>АК-1Д левая</t>
        </is>
      </c>
      <c r="B6" s="4" t="n">
        <v>1539</v>
      </c>
      <c r="C6" s="4" t="n">
        <v>1506</v>
      </c>
      <c r="D6" s="4" t="n">
        <v>1710.8</v>
      </c>
      <c r="E6" s="4" t="n">
        <v>1150</v>
      </c>
      <c r="F6" s="4" t="n">
        <v>350</v>
      </c>
      <c r="G6" s="4" t="inlineStr">
        <is>
          <t>СЧ25</t>
        </is>
      </c>
      <c r="H6" s="4" t="n">
        <v>20</v>
      </c>
    </row>
    <row r="7" ht="22" customHeight="1">
      <c r="A7" s="4" t="inlineStr">
        <is>
          <t>АК-2 правая</t>
        </is>
      </c>
      <c r="B7" s="4" t="n">
        <v>804</v>
      </c>
      <c r="C7" s="4" t="n">
        <v>818</v>
      </c>
      <c r="D7" s="4" t="n">
        <v>1345.9</v>
      </c>
      <c r="E7" s="4" t="n">
        <v>950</v>
      </c>
      <c r="F7" s="4" t="n">
        <v>350</v>
      </c>
      <c r="G7" s="4" t="inlineStr">
        <is>
          <t>СЧ25</t>
        </is>
      </c>
      <c r="H7" s="4" t="n">
        <v>26</v>
      </c>
    </row>
    <row r="8" ht="22" customHeight="1">
      <c r="A8" s="4" t="inlineStr">
        <is>
          <t>АК-2 левая</t>
        </is>
      </c>
      <c r="B8" s="4" t="n">
        <v>804</v>
      </c>
      <c r="C8" s="4" t="n">
        <v>818</v>
      </c>
      <c r="D8" s="4" t="n">
        <v>1345.9</v>
      </c>
      <c r="E8" s="4" t="n">
        <v>950</v>
      </c>
      <c r="F8" s="4" t="n">
        <v>350</v>
      </c>
      <c r="G8" s="4" t="inlineStr">
        <is>
          <t>СЧ25</t>
        </is>
      </c>
      <c r="H8" s="4" t="n">
        <v>26</v>
      </c>
    </row>
    <row r="9" ht="22" customHeight="1">
      <c r="A9" s="4" t="inlineStr">
        <is>
          <t>АКП-3 правая</t>
        </is>
      </c>
      <c r="B9" s="4" t="n">
        <v>712</v>
      </c>
      <c r="C9" s="4" t="n">
        <v>724</v>
      </c>
      <c r="D9" s="4" t="n">
        <v>1110.9</v>
      </c>
      <c r="E9" s="4" t="n">
        <v>825</v>
      </c>
      <c r="F9" s="4" t="n">
        <v>350</v>
      </c>
      <c r="G9" s="4" t="inlineStr">
        <is>
          <t>СЧ25</t>
        </is>
      </c>
      <c r="H9" s="4" t="n">
        <v>26</v>
      </c>
    </row>
    <row r="10" ht="22" customHeight="1">
      <c r="A10" s="4" t="inlineStr">
        <is>
          <t>АКП-3 левая</t>
        </is>
      </c>
      <c r="B10" s="4" t="n">
        <v>712</v>
      </c>
      <c r="C10" s="4" t="n">
        <v>724</v>
      </c>
      <c r="D10" s="4" t="n">
        <v>1110.9</v>
      </c>
      <c r="E10" s="4" t="n">
        <v>825</v>
      </c>
      <c r="F10" s="4" t="n">
        <v>350</v>
      </c>
      <c r="G10" s="4" t="inlineStr">
        <is>
          <t>СЧ25</t>
        </is>
      </c>
      <c r="H10" s="4" t="n">
        <v>26</v>
      </c>
    </row>
    <row r="11" ht="22" customHeight="1">
      <c r="A11" s="4" t="inlineStr">
        <is>
          <t>АКП-4</t>
        </is>
      </c>
      <c r="B11" s="4" t="n">
        <v>676</v>
      </c>
      <c r="C11" s="4" t="n">
        <v>688</v>
      </c>
      <c r="D11" s="4" t="n">
        <v>1022.1</v>
      </c>
      <c r="E11" s="4" t="n">
        <v>750</v>
      </c>
      <c r="F11" s="4" t="n">
        <v>350</v>
      </c>
      <c r="G11" s="4" t="inlineStr">
        <is>
          <t>СЧ20</t>
        </is>
      </c>
      <c r="H11" s="4" t="n">
        <v>26</v>
      </c>
    </row>
    <row r="12" ht="22" customHeight="1">
      <c r="A12" s="5" t="inlineStr">
        <is>
          <t>Комплект Ø8,5, проём 3,75 м</t>
        </is>
      </c>
      <c r="B12" s="10">
        <f>SUM(B5:B11)</f>
        <v/>
      </c>
      <c r="C12" s="10">
        <f>SUM(C5:C11)</f>
        <v/>
      </c>
      <c r="D12" s="5" t="inlineStr"/>
      <c r="E12" s="5" t="inlineStr"/>
      <c r="F12" s="5" t="inlineStr"/>
      <c r="G12" s="5" t="inlineStr"/>
      <c r="H12" s="10">
        <f>SUM(H5:H11)</f>
        <v/>
      </c>
    </row>
    <row r="14">
      <c r="A14" s="1" t="inlineStr">
        <is>
          <t>Три заказа</t>
        </is>
      </c>
    </row>
    <row r="15" ht="30" customHeight="1">
      <c r="A15" s="3" t="inlineStr">
        <is>
          <t>Заказ</t>
        </is>
      </c>
      <c r="B15" s="3" t="inlineStr">
        <is>
          <t>Комплектов</t>
        </is>
      </c>
      <c r="C15" s="3" t="inlineStr">
        <is>
          <t>Деталей в комплекте</t>
        </is>
      </c>
      <c r="D15" s="3" t="inlineStr">
        <is>
          <t>Деталей всего</t>
        </is>
      </c>
      <c r="E15" s="3" t="inlineStr">
        <is>
          <t>Масса комплекта, кг</t>
        </is>
      </c>
      <c r="F15" s="3" t="inlineStr">
        <is>
          <t>Масса заказа, кг</t>
        </is>
      </c>
    </row>
    <row r="16" ht="22" customHeight="1">
      <c r="A16" s="5" t="inlineStr">
        <is>
          <t>Ø8,5 — подписан</t>
        </is>
      </c>
      <c r="B16" s="4" t="n">
        <v>28</v>
      </c>
      <c r="C16" s="4" t="n">
        <v>7</v>
      </c>
      <c r="D16" s="10">
        <f>B16*C16</f>
        <v/>
      </c>
      <c r="E16" s="4" t="n">
        <v>6784</v>
      </c>
      <c r="F16" s="10">
        <f>B16*E16</f>
        <v/>
      </c>
    </row>
    <row r="17" ht="22" customHeight="1">
      <c r="A17" s="5" t="inlineStr">
        <is>
          <t>Ø9,5 — не подписан</t>
        </is>
      </c>
      <c r="B17" s="4" t="n">
        <v>32</v>
      </c>
      <c r="C17" s="4" t="n">
        <v>7</v>
      </c>
      <c r="D17" s="10">
        <f>B17*C17</f>
        <v/>
      </c>
      <c r="E17" s="4" t="n">
        <v>7129</v>
      </c>
      <c r="F17" s="10">
        <f>B17*E17</f>
        <v/>
      </c>
    </row>
    <row r="18" ht="22" customHeight="1">
      <c r="A18" s="5" t="inlineStr">
        <is>
          <t>Ø10,5 — не подписан</t>
        </is>
      </c>
      <c r="B18" s="4" t="n">
        <v>32</v>
      </c>
      <c r="C18" s="4" t="n">
        <v>7</v>
      </c>
      <c r="D18" s="10">
        <f>B18*C18</f>
        <v/>
      </c>
      <c r="E18" s="4" t="n">
        <v>8223</v>
      </c>
      <c r="F18" s="10">
        <f>B18*E18</f>
        <v/>
      </c>
    </row>
    <row r="19" ht="22" customHeight="1">
      <c r="A19" s="5" t="inlineStr">
        <is>
          <t>Всего</t>
        </is>
      </c>
      <c r="B19" s="10">
        <f>SUM(B16:B18)</f>
        <v/>
      </c>
      <c r="C19" s="5" t="inlineStr"/>
      <c r="D19" s="10">
        <f>SUM(D16:D18)</f>
        <v/>
      </c>
      <c r="E19" s="5" t="inlineStr"/>
      <c r="F19" s="10">
        <f>SUM(F16:F18)</f>
        <v/>
      </c>
    </row>
    <row r="21" ht="30" customHeight="1">
      <c r="A21" s="16" t="inlineStr">
        <is>
          <t>Число деталей в московских комплектах — 7 — взято из «Базы тюбингов». Там есть и вариант на 6 деталей, для проёма 3,0 м. Это вопрос № 16 на листе «Вопросы».</t>
        </is>
      </c>
    </row>
  </sheetData>
  <mergeCells count="1"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2026-08-15T13:19:31Z</dcterms:created>
  <dcterms:modified xsi:type="dcterms:W3CDTF">2026-08-15T13:19:31Z</dcterms:modified>
</cp:coreProperties>
</file>